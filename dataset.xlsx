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activeTab="1"/>
  </bookViews>
  <sheets>
    <sheet name="复杂度1" sheetId="1" r:id="rId1"/>
    <sheet name="复杂度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<sst xmlns="http://schemas.openxmlformats.org/spreadsheetml/2006/main" count="87" uniqueCount="62">
  <si>
    <t>装备名称</t>
  </si>
  <si>
    <t>装备描述</t>
  </si>
  <si>
    <t>任务描述</t>
  </si>
  <si>
    <t>生成结果</t>
  </si>
  <si>
    <t>QwQ-32b成功次数</t>
  </si>
  <si>
    <t>BTGenBot成功次数</t>
  </si>
  <si>
    <t>PPAChain w/o deepthink成功次数</t>
  </si>
  <si>
    <t>PPAChain成功次数</t>
  </si>
  <si>
    <t>成功率</t>
  </si>
  <si>
    <t>消防无人机</t>
  </si>
  <si>
    <t>一架消防无人机能遵循导航路线飞行，还可以发射灭火弹</t>
  </si>
  <si>
    <t>该消防无人机的任务是遵循导航路线搜索指定区域，扑灭发现的山火。</t>
  </si>
  <si>
    <t>植保无人机</t>
  </si>
  <si>
    <t>一架植保无人机配备智能飞控系统可实现自主巡航作业，携带多光谱成像传感器能够实时监测作物生长状态和病虫害分布，装配药箱支持可调节药量的喷洒功能</t>
  </si>
  <si>
    <t>该植保无人机的任务是遵循导航路线搜索指定区域，发现病虫害就喷洒农药。</t>
  </si>
  <si>
    <t>电力巡检机器人</t>
  </si>
  <si>
    <t>一台电力巡检机器人配备四驱底盘可移动，携带红外测温仪可以检测电线温度和卫星定位仪可以确定位置坐标，还搭载通信模块支持实时数据传输。</t>
  </si>
  <si>
    <r>
      <rPr>
        <sz val="11"/>
        <color theme="1"/>
        <rFont val="等线"/>
        <charset val="134"/>
        <scheme val="minor"/>
      </rPr>
      <t>该机器人的任务是沿输电线路移动至</t>
    </r>
    <r>
      <rPr>
        <sz val="10.5"/>
        <color theme="1"/>
        <rFont val="Times New Roman"/>
        <charset val="134"/>
      </rPr>
      <t>B</t>
    </r>
    <r>
      <rPr>
        <sz val="10.5"/>
        <color theme="1"/>
        <rFont val="宋体"/>
        <charset val="134"/>
      </rPr>
      <t>区段，利用红外测温仪检测</t>
    </r>
    <r>
      <rPr>
        <sz val="10.5"/>
        <color theme="1"/>
        <rFont val="Times New Roman"/>
        <charset val="134"/>
      </rPr>
      <t>B</t>
    </r>
    <r>
      <rPr>
        <sz val="10.5"/>
        <color theme="1"/>
        <rFont val="宋体"/>
        <charset val="134"/>
      </rPr>
      <t>区段线路有无异常升温，使用卫星定位仪确定异常升温点坐标，最终将异常升温点坐标传回控制中心。</t>
    </r>
  </si>
  <si>
    <t>侦查潜航器</t>
  </si>
  <si>
    <t>一艘潜航器，可以遵循给定航线航行，有一台水下蜂巢可以发射无人机，一套浮标通信系统可以与无人机建立通信，该潜艇还具有水下定位与导航系统。</t>
  </si>
  <si>
    <t>该潜航器的任务是按照给定航线机动至A海域，机动完成后发射1架无人机到预定点位，建立浮标通信后，成功获得无人机回传的A海域图像。</t>
  </si>
  <si>
    <t>应急通信车</t>
  </si>
  <si>
    <r>
      <rPr>
        <sz val="10"/>
        <color theme="1"/>
        <rFont val="微软雅黑"/>
        <charset val="134"/>
      </rPr>
      <t>一辆多功能应急通信车配备全地形六驱底盘</t>
    </r>
    <r>
      <rPr>
        <sz val="10"/>
        <color theme="1"/>
        <rFont val="宋体"/>
        <charset val="134"/>
      </rPr>
      <t>可移动，搭载</t>
    </r>
    <r>
      <rPr>
        <sz val="10"/>
        <color theme="1"/>
        <rFont val="Segoe UI"/>
        <charset val="134"/>
      </rPr>
      <t>5G</t>
    </r>
    <r>
      <rPr>
        <sz val="10"/>
        <color theme="1"/>
        <rFont val="宋体"/>
        <charset val="134"/>
      </rPr>
      <t>基站支持构建应急通信网络，顶部无人机蜂巢平台可部署中继无人机扩大信号覆盖范围</t>
    </r>
  </si>
  <si>
    <t>该通信车的任务是行驶至灾区中心，构建应急通信网络，然后部署中继无人机扩大信号覆盖范围</t>
  </si>
  <si>
    <t>巡航导弹</t>
  </si>
  <si>
    <t>巡航导弹，可通过高精度陀螺仪惯性制导沿给定航线飞行，能用数据装订模块加载规划航线，卫星通信模块实时接收卫星发送的自身定位数据对惯性制导加以修正，还可以引爆弹头毁伤目标。</t>
  </si>
  <si>
    <t>该导弹的作战任务是通过数据装订模块加载规划航线和沿途地形数据，然后按规划航线飞行，到达目标位置时引爆弹头完成目标打击任务。</t>
  </si>
  <si>
    <t>静止轨道卫星</t>
  </si>
  <si>
    <t>一颗地球同步气象卫星配备推进系统可维持在特定轨道上运行，携带高光谱成像仪、微波辐射计与闪电成像阵列能够实时捕捉台风眼结构、大气三维温湿场及强对流活动，集成激光通信终端支持每秒一次气象数据下传。</t>
  </si>
  <si>
    <t>该卫星的任务是监测指定区域气象活动，每秒下传一次气象数据</t>
  </si>
  <si>
    <t>电子战飞机</t>
  </si>
  <si>
    <t>一架电子战飞机配备三元矢量发动机可飞行，装备电子战吊舱可以实施多维度电磁压制。</t>
  </si>
  <si>
    <t>该飞机的任务是飞行到指定区域，开启电子战吊舱。</t>
  </si>
  <si>
    <t>自行榴弹炮</t>
  </si>
  <si>
    <t>一门数字化自行榴弹炮配备八驱全地形底盘可实现机动，携带模块化弹药舱可兼容对空炮弹和对敌炮弹两种弹型。</t>
  </si>
  <si>
    <t>该自行榴弹炮的任务是机动至指定区域，打击所有空中和地面目标。</t>
  </si>
  <si>
    <t>驱逐舰</t>
  </si>
  <si>
    <t>驱逐舰配备综合电力推进系统可航行，集成双波段有源相控阵雷达能够同步追踪海空目标，装备通用垂直发射系统可发射反舰弹、反潜火箭助飞鱼雷及中段反导拦截弹。</t>
  </si>
  <si>
    <t>该驱逐舰的任务是在指定海域巡航，打击所有发现的海空目标。</t>
  </si>
  <si>
    <t>均值：0.42</t>
  </si>
  <si>
    <t>均值：0.29</t>
  </si>
  <si>
    <t>均值：</t>
  </si>
  <si>
    <t>标准差：</t>
  </si>
  <si>
    <t>置信区间半径：</t>
  </si>
  <si>
    <t>一架消防无人机能自主规划飞行路线，并按照路线飞行，还配备有高清摄像头可以拍摄图片，还配备有图像识别模块可以从图片中识别山火，可以发射灭火弹</t>
  </si>
  <si>
    <t>该消防无人机的任务是规划路线搜索指定区域，每过1分钟拍照一次，发现山火就发射灭火弹扑灭</t>
  </si>
  <si>
    <t>该植保无人机的任务是遵循导航路线搜索指定区域，发现病虫害就根据病虫害分布情况选择合适药量喷洒农药。</t>
  </si>
  <si>
    <t>一艘潜航器，可以遵循给定航线航行，有一台水下蜂巢可以发射无人机，还有一套主动声呐系统能探测2000m范围内的物体和一套被动声呐系统能探测1000m范围内的物体，一套浮标通信系统可以与无人机建立通信，该潜艇还具有水下定位与导航系统。</t>
  </si>
  <si>
    <t>该潜航器的任务是按照给定航线机动至A海域，航行途中注意规避碰撞，机动完成后发射1架无人机到预定点位，建立浮标通信后，通过浮标通信指令无人机拍摄A海域图像，并成功获得无人机回传的A海域图像。</t>
  </si>
  <si>
    <r>
      <rPr>
        <sz val="10"/>
        <color theme="1"/>
        <rFont val="微软雅黑"/>
        <charset val="134"/>
      </rPr>
      <t>一辆多功能应急通信车配备全地形六驱底盘</t>
    </r>
    <r>
      <rPr>
        <sz val="10"/>
        <color theme="1"/>
        <rFont val="宋体"/>
        <charset val="134"/>
      </rPr>
      <t>可移动，集成</t>
    </r>
    <r>
      <rPr>
        <sz val="10"/>
        <color theme="1"/>
        <rFont val="等线"/>
        <charset val="134"/>
      </rPr>
      <t>卫星通信模块能够建立灾害现场与指挥中心的通信链路，装配混合供电系统包含柴油发电机与光伏储能装置，</t>
    </r>
    <r>
      <rPr>
        <sz val="10"/>
        <color theme="1"/>
        <rFont val="宋体"/>
        <charset val="134"/>
      </rPr>
      <t>搭载</t>
    </r>
    <r>
      <rPr>
        <sz val="10"/>
        <color theme="1"/>
        <rFont val="Segoe UI"/>
        <charset val="134"/>
      </rPr>
      <t>5G</t>
    </r>
    <r>
      <rPr>
        <sz val="10"/>
        <color theme="1"/>
        <rFont val="宋体"/>
        <charset val="134"/>
      </rPr>
      <t>基站支持构建应急通信网络，顶部无人机蜂巢平台可部署中继无人机扩大信号覆盖范围</t>
    </r>
  </si>
  <si>
    <t>该通信车的任务是行驶至灾区中心，与指挥中心建立通信，随后构建应急通信网络，然后部署中继无人机扩大信号覆盖范围</t>
  </si>
  <si>
    <t>巡航导弹，可通过高精度陀螺仪惯性制导沿给定航线飞行，能用数据装订模块加载规划航线和沿途地形数据，前端配置了高清摄像头可以扫描地形，内置地形对比模块比较飞行途中的地形与指定路线地形是否匹配，卫星通信模块实时接收卫星发送的自身定位数据对惯性制导加以修正，还可以释放干扰箔条扰乱雷达追踪，还可以引爆弹头毁伤目标。</t>
  </si>
  <si>
    <t>该导弹的作战任务是通过数据装订模块加载规划航线和沿途地形数据，然后按规划航线飞行，到达目标位置时引爆弹头完成目标打击任务。导弹按航线飞行的前提有两个，一是高清摄像头扫描的地形数据与加载的航线沿途地形相匹配，二是接近目标时释放要扰乱雷达追踪。</t>
  </si>
  <si>
    <t>一颗地球同步气象卫星配备推进系统可维持在特定轨道上运行，携带高光谱成像仪、微波辐射计与闪电成像阵列能够实时捕捉台风眼结构、大气三维温湿场及强对流活动，，同时具备星载AI系统自主优化观测区域优先级，集成激光通信终端支持每秒一次气象数据下传。搭载太阳风暴预警系统。</t>
  </si>
  <si>
    <t>该卫星的任务是获取指定大区域的完整气象活动，但是可以根据优先级自行调整监测小区域，在太阳风暴无预警的前提下每秒下传一次气象数据</t>
  </si>
  <si>
    <t>一架电子战飞机配备三元矢量发动机可飞行，集成全频段电磁态势感知阵列能够实时所有射频信号，装备电子战吊舱可以实施多维度电磁压制，搭载高能微波定向发射器可对雷达实施物理损毁，配置网络渗透载荷能够注入定制化病毒攻击敌C4ISR系统。</t>
  </si>
  <si>
    <t>该飞机的任务在飞行至指定空域，通过电子战吊舱实施电磁压制，如果发现敌方雷达实现物理损毁，如果发现敌方指挥系统进行病毒攻击</t>
  </si>
  <si>
    <t>一门数字化自行榴弹炮配备八驱全地形底盘可实现机动，携带模块化弹药舱可兼容对空炮弹和对敌炮弹两种弹型，搭载氮气液压自动装弹机可根据指令装载对应弹药，配置无人机弹射舱可部署微型侦察无人机实时侦察目标和回传炮击效果，装配多光谱伪装网可以实现光学隐身。</t>
  </si>
  <si>
    <t>该自行榴弹炮的任务是机动至指定区域，布置伪装网，部署侦察无人机，打击所有被发现的空中和地面目标，并根据炮击效果自主组织新一轮攻击。</t>
  </si>
  <si>
    <t>驱逐舰配备综合电力推进系统可航行，集成双波段有源相控阵雷达能够同步追踪海空目标，装备通用垂直发射系统可发射导弹，还装备了近防炮可以打击中段距离目标，轻武器可以打击近距离目标。</t>
  </si>
  <si>
    <t>均值：0.13</t>
  </si>
  <si>
    <t>均值：0.09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</si>
</sst>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等线"/>
      <charset val="134"/>
      <scheme val="minor"/>
    </font>
    <font>
      <b/>
      <sz val="11"/>
      <color theme="1"/>
      <name val="等线"/>
      <charset val="134"/>
      <scheme val="minor"/>
    </font>
    <font>
      <sz val="8"/>
      <color theme="1"/>
      <name val="Segoe UI"/>
      <charset val="134"/>
    </font>
    <font>
      <sz val="8"/>
      <color theme="1"/>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theme="1"/>
      <name val="微软雅黑"/>
      <charset val="134"/>
    </font>
    <font>
      <sz val="10"/>
      <color theme="1"/>
      <name val="宋体"/>
      <charset val="134"/>
    </font>
    <font>
      <sz val="10"/>
      <color theme="1"/>
      <name val="等线"/>
      <charset val="134"/>
    </font>
    <font>
      <sz val="10"/>
      <color theme="1"/>
      <name val="Segoe UI"/>
      <charset val="134"/>
    </font>
    <font>
      <sz val="10.5"/>
      <color theme="1"/>
      <name val="Times New Roman"/>
      <charset val="134"/>
    </font>
    <font>
      <sz val="10.5"/>
      <color theme="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4">
    <xf numFmtId="0" fontId="0" fillId="0" borderId="0" xfId="0"/>
    <xf numFmtId="0" fontId="1" fillId="0" borderId="0" xfId="0" applyFont="1" applyAlignment="1">
      <alignment horizontal="center"/>
    </xf>
    <xf numFmtId="0" fontId="2" fillId="0" borderId="0" xfId="0" applyFont="1"/>
    <xf numFmtId="0" fontId="3"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7F50"/>
      <color rgb="001F77B4"/>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微软雅黑" panose="020B0503020204020204" pitchFamily="34" charset="-122"/>
              <a:ea typeface="微软雅黑" panose="020B0503020204020204" pitchFamily="34" charset="-122"/>
              <a:cs typeface="+mn-cs"/>
            </a:defRPr>
          </a:pPr>
        </a:p>
      </c:txPr>
    </c:title>
    <c:autoTitleDeleted val="0"/>
    <c:plotArea>
      <c:layout/>
      <c:barChart>
        <c:barDir val="col"/>
        <c:grouping val="clustered"/>
        <c:varyColors val="0"/>
        <c:ser>
          <c:idx val="0"/>
          <c:order val="0"/>
          <c:tx>
            <c:strRef>
              <c:f>复杂度1!$H$1</c:f>
              <c:strCache>
                <c:ptCount val="1"/>
                <c:pt idx="0">
                  <c:v>PPAChain成功次数</c:v>
                </c:pt>
              </c:strCache>
            </c:strRef>
          </c:tx>
          <c:spPr>
            <a:solidFill>
              <a:schemeClr val="accent1"/>
            </a:solidFill>
            <a:ln>
              <a:noFill/>
            </a:ln>
            <a:effectLst/>
          </c:spPr>
          <c:invertIfNegative val="0"/>
          <c:dLbls>
            <c:delete val="1"/>
          </c:dLbls>
          <c:cat>
            <c:strRef>
              <c:f>复杂度1!$A$2:$A$12</c:f>
              <c:strCache>
                <c:ptCount val="11"/>
                <c:pt idx="0">
                  <c:v>消防无人机</c:v>
                </c:pt>
                <c:pt idx="1">
                  <c:v>植保无人机</c:v>
                </c:pt>
                <c:pt idx="2">
                  <c:v>电力巡检机器人</c:v>
                </c:pt>
                <c:pt idx="3">
                  <c:v>侦查潜航器</c:v>
                </c:pt>
                <c:pt idx="4">
                  <c:v>应急通信车</c:v>
                </c:pt>
                <c:pt idx="5">
                  <c:v>巡航导弹</c:v>
                </c:pt>
                <c:pt idx="6">
                  <c:v>静止轨道卫星</c:v>
                </c:pt>
                <c:pt idx="7">
                  <c:v>电子战飞机</c:v>
                </c:pt>
                <c:pt idx="8">
                  <c:v>自行榴弹炮</c:v>
                </c:pt>
                <c:pt idx="9">
                  <c:v>驱逐舰</c:v>
                </c:pt>
              </c:strCache>
            </c:strRef>
          </c:cat>
          <c:val>
            <c:numRef>
              <c:f>复杂度1!$E$12:$E$12</c:f>
              <c:numCache>
                <c:formatCode>General</c:formatCode>
                <c:ptCount val="1"/>
              </c:numCache>
            </c:numRef>
          </c:val>
        </c:ser>
        <c:dLbls>
          <c:showLegendKey val="0"/>
          <c:showVal val="0"/>
          <c:showCatName val="0"/>
          <c:showSerName val="0"/>
          <c:showPercent val="0"/>
          <c:showBubbleSize val="0"/>
        </c:dLbls>
        <c:gapWidth val="219"/>
        <c:overlap val="-27"/>
        <c:axId val="966342080"/>
        <c:axId val="966339584"/>
      </c:barChart>
      <c:catAx>
        <c:axId val="96634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pitchFamily="34" charset="-122"/>
                <a:ea typeface="微软雅黑" panose="020B0503020204020204" pitchFamily="34" charset="-122"/>
                <a:cs typeface="+mn-cs"/>
              </a:defRPr>
            </a:pPr>
          </a:p>
        </c:txPr>
        <c:crossAx val="966339584"/>
        <c:crosses val="autoZero"/>
        <c:auto val="1"/>
        <c:lblAlgn val="ctr"/>
        <c:lblOffset val="100"/>
        <c:noMultiLvlLbl val="0"/>
      </c:catAx>
      <c:valAx>
        <c:axId val="966339584"/>
        <c:scaling>
          <c:orientation val="minMax"/>
          <c:max val="1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66342080"/>
        <c:crosses val="autoZero"/>
        <c:crossBetween val="between"/>
      </c:valAx>
      <c:spPr>
        <a:noFill/>
        <a:ln>
          <a:noFill/>
        </a:ln>
        <a:effectLst/>
      </c:spPr>
    </c:plotArea>
    <c:plotVisOnly val="1"/>
    <c:dispBlanksAs val="gap"/>
    <c:showDLblsOverMax val="0"/>
    <c:extLst>
      <c:ext uri="{0b15fc19-7d7d-44ad-8c2d-2c3a37ce22c3}">
        <chartProps xmlns="https://web.wps.cn/et/2018/main" chartId="{19b7925c-3af3-41ee-b911-c58ddfed89a1}"/>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复杂度1!$E$1</c:f>
              <c:strCache>
                <c:ptCount val="1"/>
                <c:pt idx="0">
                  <c:v>QwQ-32b成功次数</c:v>
                </c:pt>
              </c:strCache>
            </c:strRef>
          </c:tx>
          <c:spPr>
            <a:solidFill>
              <a:srgbClr val="1F77B4"/>
            </a:solidFill>
            <a:ln>
              <a:noFill/>
            </a:ln>
            <a:effectLst/>
          </c:spPr>
          <c:invertIfNegative val="0"/>
          <c:dLbls>
            <c:delete val="1"/>
          </c:dLbls>
          <c:cat>
            <c:strRef>
              <c:f>复杂度1!$A$2:$A$11</c:f>
              <c:strCache>
                <c:ptCount val="10"/>
                <c:pt idx="0">
                  <c:v>消防无人机</c:v>
                </c:pt>
                <c:pt idx="1">
                  <c:v>植保无人机</c:v>
                </c:pt>
                <c:pt idx="2">
                  <c:v>电力巡检机器人</c:v>
                </c:pt>
                <c:pt idx="3">
                  <c:v>侦查潜航器</c:v>
                </c:pt>
                <c:pt idx="4">
                  <c:v>应急通信车</c:v>
                </c:pt>
                <c:pt idx="5">
                  <c:v>巡航导弹</c:v>
                </c:pt>
                <c:pt idx="6">
                  <c:v>静止轨道卫星</c:v>
                </c:pt>
                <c:pt idx="7">
                  <c:v>电子战飞机</c:v>
                </c:pt>
                <c:pt idx="8">
                  <c:v>自行榴弹炮</c:v>
                </c:pt>
                <c:pt idx="9">
                  <c:v>驱逐舰</c:v>
                </c:pt>
              </c:strCache>
            </c:strRef>
          </c:cat>
          <c:val>
            <c:numRef>
              <c:f>复杂度1!$E$2:$E$11</c:f>
              <c:numCache>
                <c:formatCode>General</c:formatCode>
                <c:ptCount val="10"/>
                <c:pt idx="0">
                  <c:v>5</c:v>
                </c:pt>
                <c:pt idx="1">
                  <c:v>5</c:v>
                </c:pt>
                <c:pt idx="2">
                  <c:v>3</c:v>
                </c:pt>
                <c:pt idx="3">
                  <c:v>6</c:v>
                </c:pt>
                <c:pt idx="4">
                  <c:v>3</c:v>
                </c:pt>
                <c:pt idx="5">
                  <c:v>5</c:v>
                </c:pt>
                <c:pt idx="6">
                  <c:v>4</c:v>
                </c:pt>
                <c:pt idx="7">
                  <c:v>5</c:v>
                </c:pt>
                <c:pt idx="8">
                  <c:v>6</c:v>
                </c:pt>
                <c:pt idx="9">
                  <c:v>0</c:v>
                </c:pt>
              </c:numCache>
            </c:numRef>
          </c:val>
        </c:ser>
        <c:ser>
          <c:idx val="2"/>
          <c:order val="1"/>
          <c:tx>
            <c:strRef>
              <c:f>"BTGenBot成功次数"</c:f>
              <c:strCache>
                <c:ptCount val="1"/>
                <c:pt idx="0">
                  <c:v>BTGenBot成功次数</c:v>
                </c:pt>
              </c:strCache>
            </c:strRef>
          </c:tx>
          <c:spPr>
            <a:solidFill>
              <a:schemeClr val="accent3"/>
            </a:solidFill>
            <a:ln>
              <a:noFill/>
            </a:ln>
            <a:effectLst/>
          </c:spPr>
          <c:invertIfNegative val="0"/>
          <c:dLbls>
            <c:delete val="1"/>
          </c:dLbls>
          <c:val>
            <c:numRef>
              <c:f>复杂度1!$F$2:$F$11</c:f>
              <c:numCache>
                <c:formatCode>General</c:formatCode>
                <c:ptCount val="10"/>
                <c:pt idx="0">
                  <c:v>3</c:v>
                </c:pt>
                <c:pt idx="1">
                  <c:v>0</c:v>
                </c:pt>
                <c:pt idx="2">
                  <c:v>8</c:v>
                </c:pt>
                <c:pt idx="3">
                  <c:v>5</c:v>
                </c:pt>
                <c:pt idx="4">
                  <c:v>4</c:v>
                </c:pt>
                <c:pt idx="5">
                  <c:v>0</c:v>
                </c:pt>
                <c:pt idx="6">
                  <c:v>0</c:v>
                </c:pt>
                <c:pt idx="7">
                  <c:v>7</c:v>
                </c:pt>
                <c:pt idx="8">
                  <c:v>2</c:v>
                </c:pt>
                <c:pt idx="9">
                  <c:v>0</c:v>
                </c:pt>
              </c:numCache>
            </c:numRef>
          </c:val>
        </c:ser>
        <c:ser>
          <c:idx val="1"/>
          <c:order val="2"/>
          <c:tx>
            <c:strRef>
              <c:f>复杂度1!$H$1</c:f>
              <c:strCache>
                <c:ptCount val="1"/>
                <c:pt idx="0">
                  <c:v>PPAChain成功次数</c:v>
                </c:pt>
              </c:strCache>
            </c:strRef>
          </c:tx>
          <c:spPr>
            <a:solidFill>
              <a:srgbClr val="FF7F50"/>
            </a:solidFill>
            <a:ln>
              <a:noFill/>
            </a:ln>
            <a:effectLst/>
          </c:spPr>
          <c:invertIfNegative val="0"/>
          <c:dLbls>
            <c:delete val="1"/>
          </c:dLbls>
          <c:cat>
            <c:strRef>
              <c:f>复杂度1!$A$2:$A$11</c:f>
              <c:strCache>
                <c:ptCount val="10"/>
                <c:pt idx="0">
                  <c:v>消防无人机</c:v>
                </c:pt>
                <c:pt idx="1">
                  <c:v>植保无人机</c:v>
                </c:pt>
                <c:pt idx="2">
                  <c:v>电力巡检机器人</c:v>
                </c:pt>
                <c:pt idx="3">
                  <c:v>侦查潜航器</c:v>
                </c:pt>
                <c:pt idx="4">
                  <c:v>应急通信车</c:v>
                </c:pt>
                <c:pt idx="5">
                  <c:v>巡航导弹</c:v>
                </c:pt>
                <c:pt idx="6">
                  <c:v>静止轨道卫星</c:v>
                </c:pt>
                <c:pt idx="7">
                  <c:v>电子战飞机</c:v>
                </c:pt>
                <c:pt idx="8">
                  <c:v>自行榴弹炮</c:v>
                </c:pt>
                <c:pt idx="9">
                  <c:v>驱逐舰</c:v>
                </c:pt>
              </c:strCache>
            </c:strRef>
          </c:cat>
          <c:val>
            <c:numRef>
              <c:f>复杂度1!$H$2:$H$11</c:f>
              <c:numCache>
                <c:formatCode>General</c:formatCode>
                <c:ptCount val="10"/>
                <c:pt idx="0">
                  <c:v>10</c:v>
                </c:pt>
                <c:pt idx="1">
                  <c:v>10</c:v>
                </c:pt>
                <c:pt idx="2">
                  <c:v>9</c:v>
                </c:pt>
                <c:pt idx="3">
                  <c:v>10</c:v>
                </c:pt>
                <c:pt idx="4">
                  <c:v>9</c:v>
                </c:pt>
                <c:pt idx="5">
                  <c:v>10</c:v>
                </c:pt>
                <c:pt idx="6">
                  <c:v>9</c:v>
                </c:pt>
                <c:pt idx="7">
                  <c:v>8</c:v>
                </c:pt>
                <c:pt idx="8">
                  <c:v>10</c:v>
                </c:pt>
                <c:pt idx="9">
                  <c:v>7</c:v>
                </c:pt>
              </c:numCache>
            </c:numRef>
          </c:val>
        </c:ser>
        <c:dLbls>
          <c:showLegendKey val="0"/>
          <c:showVal val="0"/>
          <c:showCatName val="0"/>
          <c:showSerName val="0"/>
          <c:showPercent val="0"/>
          <c:showBubbleSize val="0"/>
        </c:dLbls>
        <c:gapWidth val="219"/>
        <c:axId val="1821932079"/>
        <c:axId val="1821933999"/>
      </c:barChart>
      <c:catAx>
        <c:axId val="182193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821933999"/>
        <c:crosses val="autoZero"/>
        <c:auto val="1"/>
        <c:lblAlgn val="ctr"/>
        <c:lblOffset val="100"/>
        <c:noMultiLvlLbl val="0"/>
      </c:catAx>
      <c:valAx>
        <c:axId val="1821933999"/>
        <c:scaling>
          <c:orientation val="minMax"/>
          <c:max val="1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pitchFamily="34" charset="-122"/>
                <a:ea typeface="微软雅黑" panose="020B0503020204020204" pitchFamily="34" charset="-122"/>
                <a:cs typeface="+mn-cs"/>
              </a:defRPr>
            </a:pPr>
          </a:p>
        </c:txPr>
        <c:crossAx val="1821932079"/>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pitchFamily="34" charset="-122"/>
              <a:ea typeface="微软雅黑" panose="020B0503020204020204" pitchFamily="34" charset="-122"/>
              <a:cs typeface="+mn-cs"/>
            </a:defRPr>
          </a:pPr>
        </a:p>
      </c:txPr>
    </c:legend>
    <c:plotVisOnly val="1"/>
    <c:dispBlanksAs val="gap"/>
    <c:showDLblsOverMax val="0"/>
    <c:extLst>
      <c:ext uri="{0b15fc19-7d7d-44ad-8c2d-2c3a37ce22c3}">
        <chartProps xmlns="https://web.wps.cn/et/2018/main" chartId="{5d84d023-85c3-41b8-9fc1-755232ed82d4}"/>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微软雅黑" panose="020B0503020204020204" pitchFamily="34" charset="-122"/>
              <a:ea typeface="微软雅黑" panose="020B0503020204020204" pitchFamily="34" charset="-122"/>
              <a:cs typeface="+mn-cs"/>
            </a:defRPr>
          </a:pPr>
        </a:p>
      </c:txPr>
    </c:title>
    <c:autoTitleDeleted val="0"/>
    <c:plotArea>
      <c:layout/>
      <c:barChart>
        <c:barDir val="col"/>
        <c:grouping val="clustered"/>
        <c:varyColors val="0"/>
        <c:ser>
          <c:idx val="0"/>
          <c:order val="0"/>
          <c:tx>
            <c:strRef>
              <c:f>复杂度2!$G$1</c:f>
              <c:strCache>
                <c:ptCount val="1"/>
                <c:pt idx="0">
                  <c:v>PPAChain成功次数</c:v>
                </c:pt>
              </c:strCache>
            </c:strRef>
          </c:tx>
          <c:spPr>
            <a:solidFill>
              <a:schemeClr val="accent1"/>
            </a:solidFill>
            <a:ln>
              <a:noFill/>
            </a:ln>
            <a:effectLst/>
          </c:spPr>
          <c:invertIfNegative val="0"/>
          <c:dLbls>
            <c:delete val="1"/>
          </c:dLbls>
          <c:cat>
            <c:strRef>
              <c:f>复杂度2!$A$2:$A$11</c:f>
              <c:strCache>
                <c:ptCount val="10"/>
                <c:pt idx="0">
                  <c:v>消防无人机</c:v>
                </c:pt>
                <c:pt idx="1">
                  <c:v>植保无人机</c:v>
                </c:pt>
                <c:pt idx="2">
                  <c:v>电力巡检机器人</c:v>
                </c:pt>
                <c:pt idx="3">
                  <c:v>侦查潜航器</c:v>
                </c:pt>
                <c:pt idx="4">
                  <c:v>应急通信车</c:v>
                </c:pt>
                <c:pt idx="5">
                  <c:v>巡航导弹</c:v>
                </c:pt>
                <c:pt idx="6">
                  <c:v>静止轨道卫星</c:v>
                </c:pt>
                <c:pt idx="7">
                  <c:v>电子战飞机</c:v>
                </c:pt>
                <c:pt idx="8">
                  <c:v>自行榴弹炮</c:v>
                </c:pt>
                <c:pt idx="9">
                  <c:v>驱逐舰</c:v>
                </c:pt>
              </c:strCache>
            </c:strRef>
          </c:cat>
          <c:val>
            <c:numRef>
              <c:f>复杂度2!$G$2:$G$11</c:f>
              <c:numCache>
                <c:formatCode>General</c:formatCode>
                <c:ptCount val="10"/>
                <c:pt idx="0">
                  <c:v>8</c:v>
                </c:pt>
                <c:pt idx="1">
                  <c:v>7</c:v>
                </c:pt>
                <c:pt idx="2">
                  <c:v>9</c:v>
                </c:pt>
                <c:pt idx="3">
                  <c:v>5</c:v>
                </c:pt>
                <c:pt idx="4">
                  <c:v>7</c:v>
                </c:pt>
                <c:pt idx="5">
                  <c:v>8</c:v>
                </c:pt>
                <c:pt idx="6">
                  <c:v>6</c:v>
                </c:pt>
                <c:pt idx="7">
                  <c:v>7</c:v>
                </c:pt>
                <c:pt idx="8">
                  <c:v>8</c:v>
                </c:pt>
                <c:pt idx="9">
                  <c:v>5</c:v>
                </c:pt>
              </c:numCache>
            </c:numRef>
          </c:val>
        </c:ser>
        <c:dLbls>
          <c:showLegendKey val="0"/>
          <c:showVal val="0"/>
          <c:showCatName val="0"/>
          <c:showSerName val="0"/>
          <c:showPercent val="0"/>
          <c:showBubbleSize val="0"/>
        </c:dLbls>
        <c:gapWidth val="219"/>
        <c:overlap val="-27"/>
        <c:axId val="1090394416"/>
        <c:axId val="1090394832"/>
      </c:barChart>
      <c:catAx>
        <c:axId val="109039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pitchFamily="34" charset="-122"/>
                <a:ea typeface="微软雅黑" panose="020B0503020204020204" pitchFamily="34" charset="-122"/>
                <a:cs typeface="+mn-cs"/>
              </a:defRPr>
            </a:pPr>
          </a:p>
        </c:txPr>
        <c:crossAx val="1090394832"/>
        <c:crosses val="autoZero"/>
        <c:auto val="1"/>
        <c:lblAlgn val="ctr"/>
        <c:lblOffset val="100"/>
        <c:noMultiLvlLbl val="0"/>
      </c:catAx>
      <c:valAx>
        <c:axId val="1090394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090394416"/>
        <c:crosses val="autoZero"/>
        <c:crossBetween val="between"/>
      </c:valAx>
      <c:spPr>
        <a:noFill/>
        <a:ln>
          <a:noFill/>
        </a:ln>
        <a:effectLst/>
      </c:spPr>
    </c:plotArea>
    <c:plotVisOnly val="1"/>
    <c:dispBlanksAs val="gap"/>
    <c:showDLblsOverMax val="0"/>
    <c:extLst>
      <c:ext uri="{0b15fc19-7d7d-44ad-8c2d-2c3a37ce22c3}">
        <chartProps xmlns="https://web.wps.cn/et/2018/main" chartId="{06212cc5-0775-458a-ac52-6bf5a370e256}"/>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复杂度2!$E$1</c:f>
              <c:strCache>
                <c:ptCount val="1"/>
                <c:pt idx="0">
                  <c:v>QwQ-32b成功次数</c:v>
                </c:pt>
              </c:strCache>
            </c:strRef>
          </c:tx>
          <c:spPr>
            <a:solidFill>
              <a:schemeClr val="accent1"/>
            </a:solidFill>
            <a:ln>
              <a:noFill/>
            </a:ln>
            <a:effectLst/>
          </c:spPr>
          <c:invertIfNegative val="0"/>
          <c:dLbls>
            <c:delete val="1"/>
          </c:dLbls>
          <c:cat>
            <c:strRef>
              <c:f>复杂度2!$A$2:$A$11</c:f>
              <c:strCache>
                <c:ptCount val="10"/>
                <c:pt idx="0">
                  <c:v>消防无人机</c:v>
                </c:pt>
                <c:pt idx="1">
                  <c:v>植保无人机</c:v>
                </c:pt>
                <c:pt idx="2">
                  <c:v>电力巡检机器人</c:v>
                </c:pt>
                <c:pt idx="3">
                  <c:v>侦查潜航器</c:v>
                </c:pt>
                <c:pt idx="4">
                  <c:v>应急通信车</c:v>
                </c:pt>
                <c:pt idx="5">
                  <c:v>巡航导弹</c:v>
                </c:pt>
                <c:pt idx="6">
                  <c:v>静止轨道卫星</c:v>
                </c:pt>
                <c:pt idx="7">
                  <c:v>电子战飞机</c:v>
                </c:pt>
                <c:pt idx="8">
                  <c:v>自行榴弹炮</c:v>
                </c:pt>
                <c:pt idx="9">
                  <c:v>驱逐舰</c:v>
                </c:pt>
              </c:strCache>
            </c:strRef>
          </c:cat>
          <c:val>
            <c:numRef>
              <c:f>复杂度2!$E$2:$E$11</c:f>
              <c:numCache>
                <c:formatCode>General</c:formatCode>
                <c:ptCount val="10"/>
                <c:pt idx="0">
                  <c:v>4</c:v>
                </c:pt>
                <c:pt idx="1">
                  <c:v>1</c:v>
                </c:pt>
                <c:pt idx="2">
                  <c:v>3</c:v>
                </c:pt>
                <c:pt idx="3">
                  <c:v>0</c:v>
                </c:pt>
                <c:pt idx="4">
                  <c:v>0</c:v>
                </c:pt>
                <c:pt idx="5">
                  <c:v>3</c:v>
                </c:pt>
                <c:pt idx="6">
                  <c:v>2</c:v>
                </c:pt>
                <c:pt idx="7">
                  <c:v>0</c:v>
                </c:pt>
                <c:pt idx="8">
                  <c:v>0</c:v>
                </c:pt>
                <c:pt idx="9">
                  <c:v>0</c:v>
                </c:pt>
              </c:numCache>
            </c:numRef>
          </c:val>
        </c:ser>
        <c:ser>
          <c:idx val="2"/>
          <c:order val="1"/>
          <c:tx>
            <c:strRef>
              <c:f>复杂度2!$F$1</c:f>
              <c:strCache>
                <c:ptCount val="1"/>
                <c:pt idx="0">
                  <c:v>BTGenBot成功次数</c:v>
                </c:pt>
              </c:strCache>
            </c:strRef>
          </c:tx>
          <c:spPr>
            <a:solidFill>
              <a:schemeClr val="accent3"/>
            </a:solidFill>
            <a:ln>
              <a:noFill/>
            </a:ln>
            <a:effectLst/>
          </c:spPr>
          <c:invertIfNegative val="0"/>
          <c:dLbls>
            <c:delete val="1"/>
          </c:dLbls>
          <c:val>
            <c:numRef>
              <c:f>复杂度2!$F$2:$F$11</c:f>
              <c:numCache>
                <c:formatCode>General</c:formatCode>
                <c:ptCount val="10"/>
                <c:pt idx="0">
                  <c:v>0</c:v>
                </c:pt>
                <c:pt idx="1">
                  <c:v>0</c:v>
                </c:pt>
                <c:pt idx="2">
                  <c:v>5</c:v>
                </c:pt>
                <c:pt idx="3">
                  <c:v>0</c:v>
                </c:pt>
                <c:pt idx="4">
                  <c:v>1</c:v>
                </c:pt>
                <c:pt idx="5">
                  <c:v>0</c:v>
                </c:pt>
                <c:pt idx="6">
                  <c:v>0</c:v>
                </c:pt>
                <c:pt idx="7">
                  <c:v>0</c:v>
                </c:pt>
                <c:pt idx="8">
                  <c:v>3</c:v>
                </c:pt>
                <c:pt idx="9">
                  <c:v>0</c:v>
                </c:pt>
              </c:numCache>
            </c:numRef>
          </c:val>
        </c:ser>
        <c:ser>
          <c:idx val="1"/>
          <c:order val="2"/>
          <c:tx>
            <c:strRef>
              <c:f>复杂度2!$G$1</c:f>
              <c:strCache>
                <c:ptCount val="1"/>
                <c:pt idx="0">
                  <c:v>PPAChain成功次数</c:v>
                </c:pt>
              </c:strCache>
            </c:strRef>
          </c:tx>
          <c:spPr>
            <a:solidFill>
              <a:schemeClr val="accent2"/>
            </a:solidFill>
            <a:ln>
              <a:noFill/>
            </a:ln>
            <a:effectLst/>
          </c:spPr>
          <c:invertIfNegative val="0"/>
          <c:dLbls>
            <c:delete val="1"/>
          </c:dLbls>
          <c:cat>
            <c:strRef>
              <c:f>复杂度2!$A$2:$A$11</c:f>
              <c:strCache>
                <c:ptCount val="10"/>
                <c:pt idx="0">
                  <c:v>消防无人机</c:v>
                </c:pt>
                <c:pt idx="1">
                  <c:v>植保无人机</c:v>
                </c:pt>
                <c:pt idx="2">
                  <c:v>电力巡检机器人</c:v>
                </c:pt>
                <c:pt idx="3">
                  <c:v>侦查潜航器</c:v>
                </c:pt>
                <c:pt idx="4">
                  <c:v>应急通信车</c:v>
                </c:pt>
                <c:pt idx="5">
                  <c:v>巡航导弹</c:v>
                </c:pt>
                <c:pt idx="6">
                  <c:v>静止轨道卫星</c:v>
                </c:pt>
                <c:pt idx="7">
                  <c:v>电子战飞机</c:v>
                </c:pt>
                <c:pt idx="8">
                  <c:v>自行榴弹炮</c:v>
                </c:pt>
                <c:pt idx="9">
                  <c:v>驱逐舰</c:v>
                </c:pt>
              </c:strCache>
            </c:strRef>
          </c:cat>
          <c:val>
            <c:numRef>
              <c:f>复杂度2!$G$2:$G$11</c:f>
              <c:numCache>
                <c:formatCode>General</c:formatCode>
                <c:ptCount val="10"/>
                <c:pt idx="0">
                  <c:v>8</c:v>
                </c:pt>
                <c:pt idx="1">
                  <c:v>7</c:v>
                </c:pt>
                <c:pt idx="2">
                  <c:v>9</c:v>
                </c:pt>
                <c:pt idx="3">
                  <c:v>5</c:v>
                </c:pt>
                <c:pt idx="4">
                  <c:v>7</c:v>
                </c:pt>
                <c:pt idx="5">
                  <c:v>8</c:v>
                </c:pt>
                <c:pt idx="6">
                  <c:v>6</c:v>
                </c:pt>
                <c:pt idx="7">
                  <c:v>7</c:v>
                </c:pt>
                <c:pt idx="8">
                  <c:v>8</c:v>
                </c:pt>
                <c:pt idx="9">
                  <c:v>5</c:v>
                </c:pt>
              </c:numCache>
            </c:numRef>
          </c:val>
        </c:ser>
        <c:dLbls>
          <c:showLegendKey val="0"/>
          <c:showVal val="0"/>
          <c:showCatName val="0"/>
          <c:showSerName val="0"/>
          <c:showPercent val="0"/>
          <c:showBubbleSize val="0"/>
        </c:dLbls>
        <c:gapWidth val="219"/>
        <c:axId val="1883098703"/>
        <c:axId val="1883111663"/>
      </c:barChart>
      <c:catAx>
        <c:axId val="188309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pitchFamily="34" charset="-122"/>
                <a:ea typeface="微软雅黑" panose="020B0503020204020204" pitchFamily="34" charset="-122"/>
                <a:cs typeface="+mn-cs"/>
              </a:defRPr>
            </a:pPr>
          </a:p>
        </c:txPr>
        <c:crossAx val="1883111663"/>
        <c:crosses val="autoZero"/>
        <c:auto val="1"/>
        <c:lblAlgn val="ctr"/>
        <c:lblOffset val="100"/>
        <c:noMultiLvlLbl val="0"/>
      </c:catAx>
      <c:valAx>
        <c:axId val="1883111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pitchFamily="34" charset="-122"/>
                <a:ea typeface="微软雅黑" panose="020B0503020204020204" pitchFamily="34" charset="-122"/>
                <a:cs typeface="+mn-cs"/>
              </a:defRPr>
            </a:pPr>
          </a:p>
        </c:txPr>
        <c:crossAx val="1883098703"/>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pitchFamily="34" charset="-122"/>
              <a:ea typeface="微软雅黑" panose="020B0503020204020204" pitchFamily="34" charset="-122"/>
              <a:cs typeface="+mn-cs"/>
            </a:defRPr>
          </a:pPr>
        </a:p>
      </c:txPr>
    </c:legend>
    <c:plotVisOnly val="1"/>
    <c:dispBlanksAs val="gap"/>
    <c:showDLblsOverMax val="0"/>
    <c:extLst>
      <c:ext uri="{0b15fc19-7d7d-44ad-8c2d-2c3a37ce22c3}">
        <chartProps xmlns="https://web.wps.cn/et/2018/main" chartId="{26ce4e1a-cf42-4ed2-87e0-2b5f263a434c}"/>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17</xdr:col>
      <xdr:colOff>477664</xdr:colOff>
      <xdr:row>3</xdr:row>
      <xdr:rowOff>152399</xdr:rowOff>
    </xdr:from>
    <xdr:to>
      <xdr:col>25</xdr:col>
      <xdr:colOff>166140</xdr:colOff>
      <xdr:row>19</xdr:row>
      <xdr:rowOff>73117</xdr:rowOff>
    </xdr:to>
    <xdr:graphicFrame>
      <xdr:nvGraphicFramePr>
        <xdr:cNvPr id="4" name="图表 3"/>
        <xdr:cNvGraphicFramePr/>
      </xdr:nvGraphicFramePr>
      <xdr:xfrm>
        <a:off x="40845105" y="685165"/>
        <a:ext cx="5174615" cy="27914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1247140</xdr:colOff>
      <xdr:row>12</xdr:row>
      <xdr:rowOff>171450</xdr:rowOff>
    </xdr:from>
    <xdr:to>
      <xdr:col>1</xdr:col>
      <xdr:colOff>6352540</xdr:colOff>
      <xdr:row>28</xdr:row>
      <xdr:rowOff>5798</xdr:rowOff>
    </xdr:to>
    <xdr:graphicFrame>
      <xdr:nvGraphicFramePr>
        <xdr:cNvPr id="3" name="图表 2"/>
        <xdr:cNvGraphicFramePr/>
      </xdr:nvGraphicFramePr>
      <xdr:xfrm>
        <a:off x="2474595" y="2330450"/>
        <a:ext cx="5105400" cy="267906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2</xdr:col>
      <xdr:colOff>1988820</xdr:colOff>
      <xdr:row>14</xdr:row>
      <xdr:rowOff>30480</xdr:rowOff>
    </xdr:from>
    <xdr:to>
      <xdr:col>5</xdr:col>
      <xdr:colOff>1075055</xdr:colOff>
      <xdr:row>30</xdr:row>
      <xdr:rowOff>93980</xdr:rowOff>
    </xdr:to>
    <xdr:graphicFrame>
      <xdr:nvGraphicFramePr>
        <xdr:cNvPr id="2" name="图表 1"/>
        <xdr:cNvGraphicFramePr/>
      </xdr:nvGraphicFramePr>
      <xdr:xfrm>
        <a:off x="7669530" y="2545080"/>
        <a:ext cx="5410835" cy="29083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1272540</xdr:colOff>
      <xdr:row>11</xdr:row>
      <xdr:rowOff>10160</xdr:rowOff>
    </xdr:from>
    <xdr:to>
      <xdr:col>11</xdr:col>
      <xdr:colOff>663575</xdr:colOff>
      <xdr:row>26</xdr:row>
      <xdr:rowOff>30480</xdr:rowOff>
    </xdr:to>
    <xdr:graphicFrame>
      <xdr:nvGraphicFramePr>
        <xdr:cNvPr id="3" name="图表 2"/>
        <xdr:cNvGraphicFramePr/>
      </xdr:nvGraphicFramePr>
      <xdr:xfrm>
        <a:off x="13277850" y="1991360"/>
        <a:ext cx="5105400" cy="26873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6"/>
  <sheetViews>
    <sheetView zoomScale="115" zoomScaleNormal="115" workbookViewId="0">
      <selection activeCell="A4" sqref="A4"/>
    </sheetView>
  </sheetViews>
  <sheetFormatPr defaultColWidth="9" defaultRowHeight="14"/>
  <cols>
    <col min="1" max="1" width="16.1083333333333" customWidth="1"/>
    <col min="2" max="2" width="143.333333333333" customWidth="1"/>
    <col min="3" max="3" width="163.883333333333" customWidth="1"/>
    <col min="4" max="4" width="16.1083333333333" customWidth="1"/>
    <col min="5" max="5" width="22.3333333333333" customWidth="1"/>
    <col min="6" max="6" width="19.775" customWidth="1"/>
    <col min="7" max="7" width="34.6666666666667" customWidth="1"/>
    <col min="8" max="8" width="19.2166666666667" customWidth="1"/>
    <col min="9" max="9" width="22.3333333333333" customWidth="1"/>
  </cols>
  <sheetData>
    <row r="1" s="1" customFormat="1" spans="1:9">
      <c r="A1" s="1" t="s">
        <v>0</v>
      </c>
      <c r="B1" s="1" t="s">
        <v>1</v>
      </c>
      <c r="C1" s="1" t="s">
        <v>2</v>
      </c>
      <c r="D1" s="1" t="s">
        <v>3</v>
      </c>
      <c r="E1" s="1" t="s">
        <v>4</v>
      </c>
      <c r="F1" s="1" t="s">
        <v>5</v>
      </c>
      <c r="G1" s="1" t="s">
        <v>6</v>
      </c>
      <c r="H1" s="1" t="s">
        <v>7</v>
      </c>
      <c r="I1" s="1" t="s">
        <v>8</v>
      </c>
    </row>
    <row r="2" spans="1:9">
      <c r="A2" t="s">
        <v>9</v>
      </c>
      <c r="B2" t="s">
        <v>10</v>
      </c>
      <c r="C2" t="s">
        <v>11</v>
      </c>
      <c r="E2">
        <v>5</v>
      </c>
      <c r="F2">
        <v>3</v>
      </c>
      <c r="G2">
        <v>3</v>
      </c>
      <c r="H2">
        <v>10</v>
      </c>
      <c r="I2">
        <v>1</v>
      </c>
    </row>
    <row r="3" spans="1:9">
      <c r="A3" t="s">
        <v>12</v>
      </c>
      <c r="B3" t="s">
        <v>13</v>
      </c>
      <c r="C3" t="s">
        <v>14</v>
      </c>
      <c r="E3">
        <v>5</v>
      </c>
      <c r="F3">
        <v>0</v>
      </c>
      <c r="G3">
        <v>7</v>
      </c>
      <c r="H3">
        <v>10</v>
      </c>
      <c r="I3">
        <v>1</v>
      </c>
    </row>
    <row r="4" spans="1:9">
      <c r="A4" t="s">
        <v>15</v>
      </c>
      <c r="B4" t="s">
        <v>16</v>
      </c>
      <c r="C4" t="s">
        <v>17</v>
      </c>
      <c r="E4">
        <v>3</v>
      </c>
      <c r="F4">
        <v>8</v>
      </c>
      <c r="G4">
        <v>2</v>
      </c>
      <c r="H4">
        <v>9</v>
      </c>
      <c r="I4">
        <v>0.9</v>
      </c>
    </row>
    <row r="5" spans="1:9">
      <c r="A5" t="s">
        <v>18</v>
      </c>
      <c r="B5" t="s">
        <v>19</v>
      </c>
      <c r="C5" t="s">
        <v>20</v>
      </c>
      <c r="E5">
        <v>6</v>
      </c>
      <c r="F5">
        <v>5</v>
      </c>
      <c r="G5">
        <v>1</v>
      </c>
      <c r="H5">
        <v>10</v>
      </c>
      <c r="I5">
        <v>1</v>
      </c>
    </row>
    <row r="6" ht="16" spans="1:9">
      <c r="A6" t="s">
        <v>21</v>
      </c>
      <c r="B6" t="s">
        <v>22</v>
      </c>
      <c r="C6" t="s">
        <v>23</v>
      </c>
      <c r="E6">
        <v>3</v>
      </c>
      <c r="F6">
        <v>4</v>
      </c>
      <c r="G6">
        <v>3</v>
      </c>
      <c r="H6">
        <v>9</v>
      </c>
      <c r="I6">
        <v>0.9</v>
      </c>
    </row>
    <row r="7" spans="1:9">
      <c r="A7" t="s">
        <v>24</v>
      </c>
      <c r="B7" t="s">
        <v>25</v>
      </c>
      <c r="C7" t="s">
        <v>26</v>
      </c>
      <c r="E7">
        <v>5</v>
      </c>
      <c r="F7">
        <v>0</v>
      </c>
      <c r="G7">
        <v>3</v>
      </c>
      <c r="H7">
        <v>10</v>
      </c>
      <c r="I7">
        <v>1</v>
      </c>
    </row>
    <row r="8" spans="1:9">
      <c r="A8" t="s">
        <v>27</v>
      </c>
      <c r="B8" t="s">
        <v>28</v>
      </c>
      <c r="C8" t="s">
        <v>29</v>
      </c>
      <c r="E8">
        <v>4</v>
      </c>
      <c r="F8">
        <v>0</v>
      </c>
      <c r="G8">
        <v>4</v>
      </c>
      <c r="H8">
        <v>9</v>
      </c>
      <c r="I8">
        <v>0.9</v>
      </c>
    </row>
    <row r="9" spans="1:9">
      <c r="A9" t="s">
        <v>30</v>
      </c>
      <c r="B9" t="s">
        <v>31</v>
      </c>
      <c r="C9" t="s">
        <v>32</v>
      </c>
      <c r="E9">
        <v>5</v>
      </c>
      <c r="F9">
        <v>7</v>
      </c>
      <c r="G9">
        <v>2</v>
      </c>
      <c r="H9">
        <v>8</v>
      </c>
      <c r="I9">
        <v>0.8</v>
      </c>
    </row>
    <row r="10" spans="1:9">
      <c r="A10" t="s">
        <v>33</v>
      </c>
      <c r="B10" t="s">
        <v>34</v>
      </c>
      <c r="C10" t="s">
        <v>35</v>
      </c>
      <c r="E10">
        <v>6</v>
      </c>
      <c r="F10">
        <v>2</v>
      </c>
      <c r="G10">
        <v>1</v>
      </c>
      <c r="H10">
        <v>10</v>
      </c>
      <c r="I10">
        <v>1</v>
      </c>
    </row>
    <row r="11" spans="1:9">
      <c r="A11" t="s">
        <v>36</v>
      </c>
      <c r="B11" t="s">
        <v>37</v>
      </c>
      <c r="C11" t="s">
        <v>38</v>
      </c>
      <c r="E11">
        <v>0</v>
      </c>
      <c r="F11">
        <v>0</v>
      </c>
      <c r="G11">
        <v>1</v>
      </c>
      <c r="H11">
        <v>7</v>
      </c>
      <c r="I11">
        <v>0.7</v>
      </c>
    </row>
    <row r="14" spans="5:9">
      <c r="E14" t="s">
        <v>39</v>
      </c>
      <c r="F14" s="3" t="s">
        <v>40</v>
      </c>
      <c r="G14" s="3"/>
      <c r="H14" t="s">
        <v>41</v>
      </c>
      <c r="I14" s="2">
        <f>AVERAGE(I2:I11)</f>
        <v>0.92</v>
      </c>
    </row>
    <row r="15" spans="6:9">
      <c r="F15" s="2"/>
      <c r="G15" s="2"/>
      <c r="H15" t="s">
        <v>42</v>
      </c>
      <c r="I15" s="2">
        <f>_xlfn.STDEV.S(I2:I11)</f>
        <v>0.103279555898865</v>
      </c>
    </row>
    <row r="16" spans="6:9">
      <c r="F16" s="2"/>
      <c r="G16" s="2"/>
      <c r="H16" t="s">
        <v>43</v>
      </c>
      <c r="I16" s="2">
        <f>_xlfn.CONFIDENCE.T(0.05,I15,10)</f>
        <v>0.0738817435578367</v>
      </c>
    </row>
  </sheetData>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6"/>
  <sheetViews>
    <sheetView tabSelected="1" workbookViewId="0">
      <selection activeCell="B26" sqref="B26"/>
    </sheetView>
  </sheetViews>
  <sheetFormatPr defaultColWidth="9" defaultRowHeight="14" outlineLevelCol="7"/>
  <cols>
    <col min="1" max="1" width="16.1083333333333" customWidth="1"/>
    <col min="2" max="2" width="58.4416666666667" customWidth="1"/>
    <col min="3" max="3" width="51.6666666666667" customWidth="1"/>
    <col min="5" max="5" width="22.3333333333333" customWidth="1"/>
    <col min="6" max="6" width="19.775" customWidth="1"/>
    <col min="7" max="7" width="19.2166666666667" customWidth="1"/>
  </cols>
  <sheetData>
    <row r="1" spans="1:8">
      <c r="A1" s="1" t="s">
        <v>0</v>
      </c>
      <c r="B1" s="1" t="s">
        <v>1</v>
      </c>
      <c r="C1" s="1" t="s">
        <v>2</v>
      </c>
      <c r="D1" s="1" t="s">
        <v>3</v>
      </c>
      <c r="E1" s="1" t="s">
        <v>4</v>
      </c>
      <c r="F1" s="1" t="s">
        <v>5</v>
      </c>
      <c r="G1" s="1" t="s">
        <v>7</v>
      </c>
      <c r="H1" s="1" t="s">
        <v>8</v>
      </c>
    </row>
    <row r="2" spans="1:8">
      <c r="A2" t="s">
        <v>9</v>
      </c>
      <c r="B2" t="s">
        <v>44</v>
      </c>
      <c r="C2" t="s">
        <v>45</v>
      </c>
      <c r="E2">
        <v>4</v>
      </c>
      <c r="F2">
        <v>0</v>
      </c>
      <c r="G2">
        <v>8</v>
      </c>
      <c r="H2">
        <v>0.8</v>
      </c>
    </row>
    <row r="3" spans="1:8">
      <c r="A3" t="s">
        <v>12</v>
      </c>
      <c r="B3" t="s">
        <v>13</v>
      </c>
      <c r="C3" t="s">
        <v>46</v>
      </c>
      <c r="E3">
        <v>1</v>
      </c>
      <c r="F3">
        <v>0</v>
      </c>
      <c r="G3">
        <v>7</v>
      </c>
      <c r="H3">
        <v>0.7</v>
      </c>
    </row>
    <row r="4" spans="1:8">
      <c r="A4" t="s">
        <v>15</v>
      </c>
      <c r="B4" t="s">
        <v>16</v>
      </c>
      <c r="C4" t="s">
        <v>17</v>
      </c>
      <c r="E4">
        <v>3</v>
      </c>
      <c r="F4">
        <v>5</v>
      </c>
      <c r="G4">
        <v>9</v>
      </c>
      <c r="H4">
        <v>0.9</v>
      </c>
    </row>
    <row r="5" spans="1:8">
      <c r="A5" t="s">
        <v>18</v>
      </c>
      <c r="B5" t="s">
        <v>47</v>
      </c>
      <c r="C5" t="s">
        <v>48</v>
      </c>
      <c r="E5">
        <v>0</v>
      </c>
      <c r="F5">
        <v>0</v>
      </c>
      <c r="G5">
        <v>5</v>
      </c>
      <c r="H5">
        <v>0.5</v>
      </c>
    </row>
    <row r="6" ht="16" spans="1:8">
      <c r="A6" t="s">
        <v>21</v>
      </c>
      <c r="B6" t="s">
        <v>49</v>
      </c>
      <c r="C6" t="s">
        <v>50</v>
      </c>
      <c r="E6">
        <v>0</v>
      </c>
      <c r="F6">
        <v>1</v>
      </c>
      <c r="G6">
        <v>7</v>
      </c>
      <c r="H6">
        <v>0.7</v>
      </c>
    </row>
    <row r="7" spans="1:8">
      <c r="A7" t="s">
        <v>24</v>
      </c>
      <c r="B7" t="s">
        <v>51</v>
      </c>
      <c r="C7" t="s">
        <v>52</v>
      </c>
      <c r="E7">
        <v>3</v>
      </c>
      <c r="F7">
        <v>0</v>
      </c>
      <c r="G7">
        <v>8</v>
      </c>
      <c r="H7">
        <v>0.8</v>
      </c>
    </row>
    <row r="8" spans="1:8">
      <c r="A8" t="s">
        <v>27</v>
      </c>
      <c r="B8" t="s">
        <v>53</v>
      </c>
      <c r="C8" t="s">
        <v>54</v>
      </c>
      <c r="E8">
        <v>2</v>
      </c>
      <c r="F8">
        <v>0</v>
      </c>
      <c r="G8">
        <v>6</v>
      </c>
      <c r="H8">
        <v>0.6</v>
      </c>
    </row>
    <row r="9" spans="1:8">
      <c r="A9" t="s">
        <v>30</v>
      </c>
      <c r="B9" t="s">
        <v>55</v>
      </c>
      <c r="C9" t="s">
        <v>56</v>
      </c>
      <c r="E9">
        <v>0</v>
      </c>
      <c r="F9">
        <v>0</v>
      </c>
      <c r="G9">
        <v>7</v>
      </c>
      <c r="H9">
        <v>0.7</v>
      </c>
    </row>
    <row r="10" spans="1:8">
      <c r="A10" t="s">
        <v>33</v>
      </c>
      <c r="B10" t="s">
        <v>57</v>
      </c>
      <c r="C10" t="s">
        <v>58</v>
      </c>
      <c r="E10">
        <v>0</v>
      </c>
      <c r="F10">
        <v>3</v>
      </c>
      <c r="G10">
        <v>8</v>
      </c>
      <c r="H10">
        <v>0.8</v>
      </c>
    </row>
    <row r="11" spans="1:8">
      <c r="A11" t="s">
        <v>36</v>
      </c>
      <c r="B11" t="s">
        <v>59</v>
      </c>
      <c r="C11" t="s">
        <v>38</v>
      </c>
      <c r="E11">
        <v>0</v>
      </c>
      <c r="F11">
        <v>0</v>
      </c>
      <c r="G11">
        <v>5</v>
      </c>
      <c r="H11">
        <v>0.5</v>
      </c>
    </row>
    <row r="13" spans="5:8">
      <c r="E13" t="s">
        <v>60</v>
      </c>
      <c r="F13" t="s">
        <v>61</v>
      </c>
      <c r="G13" t="s">
        <v>41</v>
      </c>
      <c r="H13" s="2">
        <f>AVERAGE(H2:H11)</f>
        <v>0.7</v>
      </c>
    </row>
    <row r="14" spans="6:8">
      <c r="F14" s="2"/>
      <c r="G14" t="s">
        <v>42</v>
      </c>
      <c r="H14" s="2">
        <f>_xlfn.STDEV.S(H2:H11)</f>
        <v>0.133333333333334</v>
      </c>
    </row>
    <row r="15" spans="6:8">
      <c r="F15" s="2"/>
      <c r="G15" t="s">
        <v>43</v>
      </c>
      <c r="H15" s="2">
        <f>_xlfn.CONFIDENCE.T(0.05,H14,10)</f>
        <v>0.0953809207960892</v>
      </c>
    </row>
    <row r="16" spans="6:6">
      <c r="F16" s="2"/>
    </row>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复杂度1</vt:lpstr>
      <vt:lpstr>复杂度2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yhz</dc:creator>
  <cp:lastModifiedBy>小刘</cp:lastModifiedBy>
  <dcterms:created xsi:type="dcterms:W3CDTF">2015-06-05T18:19:00Z</dcterms:created>
  <dcterms:modified xsi:type="dcterms:W3CDTF">2025-11-26T11:24:10Z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929A19A69D3E48BC9673976A8A32AB7E_13</vt:lpwstr>
  </property>
  <property fmtid="{D5CDD505-2E9C-101B-9397-08002B2CF9AE}" pid="3" name="KSOProductBuildVer">
    <vt:lpwstr>2052-12.1.0.23125</vt:lpwstr>
  </property>
</Properties>
</file>